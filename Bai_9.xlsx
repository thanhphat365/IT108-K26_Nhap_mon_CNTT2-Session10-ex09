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F17" i="1"/>
  <c r="F14" i="1"/>
  <c r="F15" i="1"/>
  <c r="F16" i="1"/>
</calcChain>
</file>

<file path=xl/sharedStrings.xml><?xml version="1.0" encoding="utf-8"?>
<sst xmlns="http://schemas.openxmlformats.org/spreadsheetml/2006/main" count="53" uniqueCount="44">
  <si>
    <t>TG001</t>
  </si>
  <si>
    <t>Nguyễn Văn An</t>
  </si>
  <si>
    <t>CNTT</t>
  </si>
  <si>
    <t>P.201-A</t>
  </si>
  <si>
    <t>TG002</t>
  </si>
  <si>
    <t>Trần Thị Bình</t>
  </si>
  <si>
    <t>Điện Tử</t>
  </si>
  <si>
    <t>P.305-B</t>
  </si>
  <si>
    <t>TG003</t>
  </si>
  <si>
    <t>Lê Minh Châu</t>
  </si>
  <si>
    <t>...</t>
  </si>
  <si>
    <t xml:space="preserve"> Tên Tác Giả</t>
  </si>
  <si>
    <t>Phòng</t>
  </si>
  <si>
    <t xml:space="preserve"> Thù Lao</t>
  </si>
  <si>
    <t>DanhMucTacGia</t>
  </si>
  <si>
    <t>Tên Tác Giả</t>
  </si>
  <si>
    <t>DanhSachBaoCao</t>
  </si>
  <si>
    <t>Phòng Trình Bày</t>
  </si>
  <si>
    <t>Thù Lao</t>
  </si>
  <si>
    <t>Lookup_value: là chìa khóa để tìm nội dung</t>
  </si>
  <si>
    <t>Table_array: là vùng bảng tham chiếu (vd: $B$3:$E$6)</t>
  </si>
  <si>
    <t>Khoa/Viện</t>
  </si>
  <si>
    <t>Mã TG</t>
  </si>
  <si>
    <t>…</t>
  </si>
  <si>
    <t>Col_Index-num chỉ cần gõ số của cột vd: cột D là cột số 3 đếm từ cột tên tác giả qua của bảng DanhMucTacGia</t>
  </si>
  <si>
    <t>Dùng hàm IFERROR, VLOOKUP, TRIM. Lồng nhau: =IFERROR(VLOOKUP(TRIM(…), …, …, …))</t>
  </si>
  <si>
    <t>Dùng hàm IFERROR để không hiện lỗi  #N/A thay vào đó sẽ hiện chưa cập nhật.</t>
  </si>
  <si>
    <t>Phần 1: Phân tích</t>
  </si>
  <si>
    <t>Chỉ cần thay Col_index_num chứ không cần viết lại toàn bộ cú pháp vì: tham số này  để lấy nội dung  từ  bảng 1 để  hiện vào bảng thứ 2</t>
  </si>
  <si>
    <r>
      <t>Tại ô D2:</t>
    </r>
    <r>
      <rPr>
        <sz val="11"/>
        <color theme="1"/>
        <rFont val="Calibri"/>
        <family val="2"/>
        <scheme val="minor"/>
      </rPr>
      <t xml:space="preserve"> là </t>
    </r>
    <r>
      <rPr>
        <sz val="10"/>
        <color theme="1"/>
        <rFont val="Arial Unicode MS"/>
        <family val="2"/>
      </rPr>
      <t>B3:E6</t>
    </r>
  </si>
  <si>
    <r>
      <t>Tại ô D3:</t>
    </r>
    <r>
      <rPr>
        <sz val="11"/>
        <color theme="1"/>
        <rFont val="Calibri"/>
        <family val="2"/>
        <scheme val="minor"/>
      </rPr>
      <t xml:space="preserve"> Vùng tra cứu bị tịnh tiến xuống 1 hàng thành </t>
    </r>
    <r>
      <rPr>
        <sz val="10"/>
        <color theme="1"/>
        <rFont val="Arial Unicode MS"/>
        <family val="2"/>
      </rPr>
      <t>B4:E7</t>
    </r>
  </si>
  <si>
    <r>
      <t>Tại ô D4:</t>
    </r>
    <r>
      <rPr>
        <sz val="11"/>
        <color theme="1"/>
        <rFont val="Calibri"/>
        <family val="2"/>
        <scheme val="minor"/>
      </rPr>
      <t xml:space="preserve"> Vùng tra cứu bị tịnh tiến xuống 2 hàng thành </t>
    </r>
    <r>
      <rPr>
        <sz val="10"/>
        <color theme="1"/>
        <rFont val="Arial Unicode MS"/>
        <family val="2"/>
      </rPr>
      <t>B5:E8</t>
    </r>
  </si>
  <si>
    <r>
      <t xml:space="preserve">Tại ô D5: nhích </t>
    </r>
    <r>
      <rPr>
        <sz val="11"/>
        <color theme="1"/>
        <rFont val="Calibri"/>
        <family val="2"/>
        <scheme val="minor"/>
      </rPr>
      <t xml:space="preserve">xuống 2 hàng thành </t>
    </r>
    <r>
      <rPr>
        <sz val="10"/>
        <color theme="1"/>
        <rFont val="Arial Unicode MS"/>
        <family val="2"/>
      </rPr>
      <t>B6:E9</t>
    </r>
  </si>
  <si>
    <t>Nên khi không có dấu $ thì từ D2 xuống D5 là B6:E9</t>
  </si>
  <si>
    <t>Nếu bỏ $ trong Table_array, khi kéo công thức D2 xuống D5, vùng tra cứu sẽ thay đổi thành gì? Cho ví dụ cụ thể với địa chỉ ô.</t>
  </si>
  <si>
    <t>Phần 2: Triển Khai &amp; Chống lỗi</t>
  </si>
  <si>
    <t>- B3: Lồng vào VLOOKUP là hàm TRIM để xóa khoảng trắng vô hình</t>
  </si>
  <si>
    <t xml:space="preserve">- B4: chọn tùy dòng  để xóa khoảng trắng vô hình vd: TRIM(D14) </t>
  </si>
  <si>
    <t>- B5: chọn bảng tham chiếu Table_array từ B3 đến E6 ($B$3:$E$6)</t>
  </si>
  <si>
    <t>- B6: chọn cột muốn thêm ndung vào bảng DanhSachBaoCao vd: gõ số 3 là thêm ndung cột phòng của bảng DanhMucTacGia</t>
  </si>
  <si>
    <t>- B7: gõ False để ra kết quả chính xác</t>
  </si>
  <si>
    <t>- B8: đóng ngoặc lại để kết thúc hàm VLOOKUP sau đó thêm dòng "chưa cập nhật" rồi đóng ngoặc để kết thúc hàm IFERROR</t>
  </si>
  <si>
    <t>- B1: Dùng hàm IFERROR</t>
  </si>
  <si>
    <t>- B2: Lồng vào IFERROR là hàm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</si>
</sst>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2" borderId="0" xfId="1" applyAlignment="1">
      <alignment horizontal="center"/>
    </xf>
    <xf numFmtId="0" fontId="5" fillId="2" borderId="0" xfId="1" applyFont="1" applyAlignment="1">
      <alignment horizontal="center"/>
    </xf>
    <xf numFmtId="0" fontId="3" fillId="3" borderId="0" xfId="2" applyAlignment="1">
      <alignment horizontal="center"/>
    </xf>
    <xf numFmtId="0" fontId="6" fillId="3" borderId="0" xfId="2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NumberForma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0" fillId="0" borderId="0" xfId="0" applyFont="1"/>
    <xf numFmtId="0" fontId="0" fillId="0" borderId="0" xfId="0" quotePrefix="1"/>
  </cellXfs>
  <cellStyles count="3">
    <cellStyle name="Bad" xfId="2" builtinId="27"/>
    <cellStyle name="Good" xfId="1" builtinId="26"/>
    <cellStyle name="Normal" xfId="0" builtinId="0"/>
  </cellStyles>
  <dxfs count="9">
    <dxf>
      <numFmt numFmtId="0" formatCode="General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E6" totalsRowShown="0" headerRowDxfId="2" dataDxfId="1">
  <autoFilter ref="A2:E6"/>
  <tableColumns count="5">
    <tableColumn id="1" name="Mã TG" dataDxfId="7"/>
    <tableColumn id="2" name=" Tên Tác Giả" dataDxfId="6"/>
    <tableColumn id="3" name="Khoa/Viện" dataDxfId="5"/>
    <tableColumn id="4" name="Phòng" dataDxfId="4"/>
    <tableColumn id="5" name=" Thù Lao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D13:F17" totalsRowShown="0">
  <autoFilter ref="D13:F17"/>
  <tableColumns count="3">
    <tableColumn id="1" name="Tên Tác Giả"/>
    <tableColumn id="2" name="Phòng Trình Bày" dataDxfId="0">
      <calculatedColumnFormula>IFERROR(VLOOKUP(TRIM(D14), $B$3:$E$6, 3, FALSE), "chưa cập nhật")</calculatedColumnFormula>
    </tableColumn>
    <tableColumn id="3" name="Thù Lao" dataDxfId="8">
      <calculatedColumnFormula>IFERROR(VLOOKUP(TRIM(D14), $B$3:$E$6, 4, FALSE), "chưa cập nhật")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E14" sqref="E14"/>
    </sheetView>
  </sheetViews>
  <sheetFormatPr defaultRowHeight="15" x14ac:dyDescent="0.25"/>
  <cols>
    <col min="1" max="1" width="17.140625" customWidth="1"/>
    <col min="2" max="2" width="18.7109375" customWidth="1"/>
    <col min="3" max="3" width="18.42578125" customWidth="1"/>
    <col min="4" max="4" width="18.5703125" customWidth="1"/>
    <col min="5" max="5" width="18.140625" customWidth="1"/>
    <col min="6" max="6" width="18.7109375" customWidth="1"/>
    <col min="10" max="10" width="118.85546875" customWidth="1"/>
  </cols>
  <sheetData>
    <row r="1" spans="1:10" ht="18.75" x14ac:dyDescent="0.3">
      <c r="A1" s="5" t="s">
        <v>14</v>
      </c>
      <c r="B1" s="4"/>
      <c r="C1" s="4"/>
      <c r="D1" s="4"/>
      <c r="E1" s="4"/>
    </row>
    <row r="2" spans="1:10" x14ac:dyDescent="0.25">
      <c r="A2" s="2" t="s">
        <v>22</v>
      </c>
      <c r="B2" s="2" t="s">
        <v>11</v>
      </c>
      <c r="C2" s="2" t="s">
        <v>21</v>
      </c>
      <c r="D2" s="2" t="s">
        <v>12</v>
      </c>
      <c r="E2" s="2" t="s">
        <v>13</v>
      </c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3">
        <v>500000</v>
      </c>
    </row>
    <row r="4" spans="1:10" x14ac:dyDescent="0.25">
      <c r="A4" s="1" t="s">
        <v>4</v>
      </c>
      <c r="B4" s="1" t="s">
        <v>5</v>
      </c>
      <c r="C4" s="1" t="s">
        <v>6</v>
      </c>
      <c r="D4" s="1" t="s">
        <v>7</v>
      </c>
      <c r="E4" s="3">
        <v>450000</v>
      </c>
    </row>
    <row r="5" spans="1:10" x14ac:dyDescent="0.25">
      <c r="A5" s="1" t="s">
        <v>8</v>
      </c>
      <c r="B5" s="1" t="s">
        <v>9</v>
      </c>
      <c r="C5" s="1" t="s">
        <v>2</v>
      </c>
      <c r="D5" s="1" t="s">
        <v>3</v>
      </c>
      <c r="E5" s="3">
        <v>500000</v>
      </c>
    </row>
    <row r="6" spans="1:10" x14ac:dyDescent="0.25">
      <c r="A6" s="1" t="s">
        <v>10</v>
      </c>
      <c r="B6" s="1" t="s">
        <v>10</v>
      </c>
      <c r="C6" s="1" t="s">
        <v>10</v>
      </c>
      <c r="D6" s="1" t="s">
        <v>10</v>
      </c>
      <c r="E6" s="1" t="s">
        <v>10</v>
      </c>
    </row>
    <row r="8" spans="1:10" x14ac:dyDescent="0.25">
      <c r="D8" s="1"/>
    </row>
    <row r="10" spans="1:10" ht="18.75" x14ac:dyDescent="0.3">
      <c r="J10" s="11" t="s">
        <v>27</v>
      </c>
    </row>
    <row r="11" spans="1:10" x14ac:dyDescent="0.25">
      <c r="D11" s="7" t="s">
        <v>16</v>
      </c>
      <c r="E11" s="6"/>
      <c r="F11" s="6"/>
      <c r="J11" s="10" t="s">
        <v>19</v>
      </c>
    </row>
    <row r="12" spans="1:10" x14ac:dyDescent="0.25">
      <c r="D12" s="6"/>
      <c r="E12" s="6"/>
      <c r="F12" s="6"/>
      <c r="J12" t="s">
        <v>20</v>
      </c>
    </row>
    <row r="13" spans="1:10" x14ac:dyDescent="0.25">
      <c r="D13" t="s">
        <v>15</v>
      </c>
      <c r="E13" t="s">
        <v>17</v>
      </c>
      <c r="F13" t="s">
        <v>18</v>
      </c>
      <c r="J13" t="s">
        <v>24</v>
      </c>
    </row>
    <row r="14" spans="1:10" x14ac:dyDescent="0.25">
      <c r="D14" s="8" t="s">
        <v>1</v>
      </c>
      <c r="E14" t="str">
        <f t="shared" ref="E14:E17" si="0">IFERROR(VLOOKUP(TRIM(D14), $B$3:$E$6, 3, FALSE), "chưa cập nhật")</f>
        <v>P.201-A</v>
      </c>
      <c r="F14">
        <f>IFERROR(VLOOKUP(TRIM(D14), $B$3:$E$6, 4, FALSE), "chưa cập nhật")</f>
        <v>500000</v>
      </c>
      <c r="J14" t="s">
        <v>25</v>
      </c>
    </row>
    <row r="15" spans="1:10" x14ac:dyDescent="0.25">
      <c r="D15" s="8" t="s">
        <v>5</v>
      </c>
      <c r="E15" t="str">
        <f t="shared" si="0"/>
        <v>P.305-B</v>
      </c>
      <c r="F15">
        <f t="shared" ref="F14:F16" si="1">IFERROR(VLOOKUP(TRIM(D15), $B$3:$E$6, 4, FALSE), "chưa cập nhật")</f>
        <v>450000</v>
      </c>
    </row>
    <row r="16" spans="1:10" x14ac:dyDescent="0.25">
      <c r="D16" s="8" t="s">
        <v>9</v>
      </c>
      <c r="E16" t="str">
        <f t="shared" si="0"/>
        <v>P.201-A</v>
      </c>
      <c r="F16">
        <f t="shared" si="1"/>
        <v>500000</v>
      </c>
      <c r="J16" s="14" t="s">
        <v>42</v>
      </c>
    </row>
    <row r="17" spans="4:10" x14ac:dyDescent="0.25">
      <c r="D17" t="s">
        <v>23</v>
      </c>
      <c r="E17" s="9" t="str">
        <f t="shared" si="0"/>
        <v>chưa cập nhật</v>
      </c>
      <c r="F17" s="9" t="str">
        <f>IFERROR(VLOOKUP(TRIM(D17), $B$3:$E$6, 4, FALSE), "chưa cập nhật")</f>
        <v>chưa cập nhật</v>
      </c>
      <c r="J17" s="14" t="s">
        <v>43</v>
      </c>
    </row>
    <row r="18" spans="4:10" x14ac:dyDescent="0.25">
      <c r="J18" s="14" t="s">
        <v>36</v>
      </c>
    </row>
    <row r="19" spans="4:10" x14ac:dyDescent="0.25">
      <c r="J19" s="14" t="s">
        <v>37</v>
      </c>
    </row>
    <row r="20" spans="4:10" x14ac:dyDescent="0.25">
      <c r="J20" s="14" t="s">
        <v>38</v>
      </c>
    </row>
    <row r="21" spans="4:10" x14ac:dyDescent="0.25">
      <c r="J21" s="14" t="s">
        <v>39</v>
      </c>
    </row>
    <row r="22" spans="4:10" x14ac:dyDescent="0.25">
      <c r="J22" s="14" t="s">
        <v>40</v>
      </c>
    </row>
    <row r="23" spans="4:10" x14ac:dyDescent="0.25">
      <c r="J23" s="14" t="s">
        <v>41</v>
      </c>
    </row>
    <row r="24" spans="4:10" x14ac:dyDescent="0.25">
      <c r="J24" t="s">
        <v>26</v>
      </c>
    </row>
    <row r="26" spans="4:10" ht="18.75" x14ac:dyDescent="0.3">
      <c r="J26" s="11" t="s">
        <v>35</v>
      </c>
    </row>
    <row r="27" spans="4:10" x14ac:dyDescent="0.25">
      <c r="J27" t="s">
        <v>28</v>
      </c>
    </row>
    <row r="28" spans="4:10" x14ac:dyDescent="0.25">
      <c r="J28" s="12" t="s">
        <v>34</v>
      </c>
    </row>
    <row r="29" spans="4:10" ht="15.75" x14ac:dyDescent="0.3">
      <c r="J29" s="13" t="s">
        <v>29</v>
      </c>
    </row>
    <row r="30" spans="4:10" ht="15.75" x14ac:dyDescent="0.3">
      <c r="J30" s="13" t="s">
        <v>30</v>
      </c>
    </row>
    <row r="31" spans="4:10" ht="15.75" x14ac:dyDescent="0.3">
      <c r="J31" s="13" t="s">
        <v>31</v>
      </c>
    </row>
    <row r="32" spans="4:10" ht="15.75" x14ac:dyDescent="0.3">
      <c r="J32" s="13" t="s">
        <v>32</v>
      </c>
    </row>
    <row r="33" spans="10:10" x14ac:dyDescent="0.25">
      <c r="J33" s="13" t="s">
        <v>33</v>
      </c>
    </row>
  </sheetData>
  <mergeCells count="2">
    <mergeCell ref="A1:E1"/>
    <mergeCell ref="D11:F1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2026-10-19T08:06:25Z</dcterms:created>
  <dcterms:modified xsi:type="dcterms:W3CDTF">2026-10-19T11:27:16Z</dcterms:modified>
</cp:coreProperties>
</file>